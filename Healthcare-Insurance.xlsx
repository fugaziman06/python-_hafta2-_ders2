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tsLab\Desktop\"/>
    </mc:Choice>
  </mc:AlternateContent>
  <bookViews>
    <workbookView xWindow="0" yWindow="615" windowWidth="31320" windowHeight="20580"/>
  </bookViews>
  <sheets>
    <sheet name="Healthcare Insurance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" l="1"/>
  <c r="N60" i="2" l="1"/>
  <c r="M54" i="2"/>
  <c r="M55" i="2"/>
  <c r="M56" i="2"/>
  <c r="M57" i="2"/>
  <c r="M58" i="2"/>
  <c r="M53" i="2"/>
  <c r="N37" i="2"/>
  <c r="N38" i="2"/>
  <c r="N39" i="2"/>
  <c r="N40" i="2"/>
  <c r="N41" i="2"/>
  <c r="N42" i="2"/>
  <c r="N43" i="2"/>
  <c r="N44" i="2"/>
  <c r="N36" i="2"/>
  <c r="N21" i="2"/>
  <c r="N19" i="2"/>
  <c r="N12" i="2"/>
  <c r="N10" i="2"/>
  <c r="N9" i="2"/>
  <c r="J53" i="2"/>
  <c r="J52" i="2"/>
  <c r="J46" i="2"/>
  <c r="J36" i="2"/>
  <c r="J41" i="2"/>
  <c r="J43" i="2"/>
  <c r="J42" i="2"/>
  <c r="J7" i="2"/>
  <c r="J8" i="2"/>
  <c r="J9" i="2"/>
  <c r="J34" i="2"/>
  <c r="J33" i="2"/>
  <c r="J32" i="2"/>
  <c r="J31" i="2"/>
  <c r="J27" i="2"/>
  <c r="J21" i="2"/>
  <c r="J19" i="2"/>
</calcChain>
</file>

<file path=xl/sharedStrings.xml><?xml version="1.0" encoding="utf-8"?>
<sst xmlns="http://schemas.openxmlformats.org/spreadsheetml/2006/main" count="230" uniqueCount="142">
  <si>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</si>
  <si>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</si>
  <si>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</si>
  <si>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</si>
  <si>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</si>
  <si>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</si>
  <si>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</si>
  <si>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</si>
  <si>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</si>
  <si>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</si>
  <si>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</si>
  <si>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</si>
  <si>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</si>
  <si>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</si>
  <si>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</si>
  <si>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</si>
  <si>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</si>
  <si>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</si>
  <si>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</si>
  <si>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</si>
  <si>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</si>
  <si>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</si>
  <si>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</si>
  <si>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</si>
  <si>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</si>
  <si>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</si>
  <si>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</si>
  <si>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</si>
  <si>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</si>
  <si>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</si>
  <si>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</si>
  <si>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</si>
  <si>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</si>
  <si>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</si>
  <si>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</si>
  <si>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</si>
  <si>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</si>
  <si>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</si>
  <si>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</si>
  <si>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</si>
  <si>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</si>
  <si>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</si>
  <si>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</si>
  <si>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</si>
  <si>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</si>
  <si>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</si>
  <si>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</si>
  <si>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</si>
  <si>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</si>
  <si>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</si>
  <si>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</si>
  <si>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</si>
  <si>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</si>
  <si>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</si>
  <si>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</si>
  <si>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</si>
  <si>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</si>
  <si>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</si>
  <si>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</si>
  <si>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</si>
  <si>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</si>
  <si>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</si>
  <si>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</si>
  <si>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</si>
  <si>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</si>
  <si>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</si>
  <si>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</si>
  <si>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</si>
  <si>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</si>
  <si>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</si>
  <si>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</si>
  <si>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</si>
  <si>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</si>
  <si>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</si>
  <si>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</si>
  <si>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</si>
  <si>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</si>
  <si>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</si>
  <si>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</si>
  <si>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</si>
  <si>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</si>
  <si>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</si>
  <si>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</si>
  <si>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</si>
  <si>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</si>
  <si>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</si>
  <si>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</si>
  <si>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</si>
  <si>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</si>
  <si>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</si>
  <si>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</si>
  <si>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</si>
  <si>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</si>
  <si>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</si>
  <si>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</si>
  <si>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</si>
  <si>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</si>
  <si>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</si>
  <si>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</si>
  <si>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</si>
  <si>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</si>
  <si>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</si>
  <si>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</si>
  <si>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</si>
  <si>
    <t>yaş ortalaması</t>
  </si>
  <si>
    <t>geometrik ortalama</t>
  </si>
  <si>
    <t>yaş ortancası</t>
  </si>
  <si>
    <t>yas mınumum degerı</t>
  </si>
  <si>
    <t>yas maksımum deger</t>
  </si>
  <si>
    <t>cocuk mınımum deger</t>
  </si>
  <si>
    <t>cocuk maksımum</t>
  </si>
  <si>
    <t>minimum vke</t>
  </si>
  <si>
    <t>maksimum</t>
  </si>
  <si>
    <t>ortalama vke</t>
  </si>
  <si>
    <t>yas mod'u</t>
  </si>
  <si>
    <t>varyans</t>
  </si>
  <si>
    <t>yaş yıgının varyansı</t>
  </si>
  <si>
    <t>standart ygın(p) sapma</t>
  </si>
  <si>
    <t>standat sapma</t>
  </si>
  <si>
    <t>basıklık ve carpıklık</t>
  </si>
  <si>
    <t>yas basıklık degerı</t>
  </si>
  <si>
    <t>yasın carpıklık degerı</t>
  </si>
  <si>
    <t>kucuk-buyuk</t>
  </si>
  <si>
    <t>en genc 22. kısının yası. Kısı</t>
  </si>
  <si>
    <t>en yaslı 5. kısı</t>
  </si>
  <si>
    <t>en buyuk 12.ci vke sahıp kısı</t>
  </si>
  <si>
    <t xml:space="preserve">kacıncı </t>
  </si>
  <si>
    <t>ilk hangı sıradaysa onu bulma</t>
  </si>
  <si>
    <t>sıgorta ucretı 9600 olan kısının sırası</t>
  </si>
  <si>
    <t>bır ısmın sırası</t>
  </si>
  <si>
    <t>satıra-sutuna</t>
  </si>
  <si>
    <t>dagınık verılerı yan yana yazmak ıstıyorsunuz o zaman</t>
  </si>
  <si>
    <t>sayı üretme</t>
  </si>
  <si>
    <t>0 ıle 1 arasında sayı uretme</t>
  </si>
  <si>
    <t>5 ıle 7 arasında sayı uretme</t>
  </si>
  <si>
    <t>alt sınır = a</t>
  </si>
  <si>
    <t>ust sınır = b</t>
  </si>
  <si>
    <t>(b-a)*</t>
  </si>
  <si>
    <t>15 ıle 26 arasında tam sayı uretme</t>
  </si>
  <si>
    <t>onlıne excel lazımssss</t>
  </si>
  <si>
    <t>haftaya kosullara gırecegız</t>
  </si>
  <si>
    <t>erkeklerın ortalamasını al 2 cocugu olanlarınkını al cart curt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</si>
</sst>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abSelected="1" topLeftCell="C1" workbookViewId="0">
      <selection activeCell="S18" sqref="S18"/>
    </sheetView>
  </sheetViews>
  <sheetFormatPr defaultColWidth="8.875" defaultRowHeight="15"/>
  <cols>
    <col min="1" max="1" width="21" style="2" bestFit="1" customWidth="1"/>
    <col min="2" max="2" width="9.375" style="2" customWidth="1"/>
    <col min="3" max="3" width="9.5" style="2" customWidth="1"/>
    <col min="4" max="4" width="8.125" style="2" customWidth="1"/>
    <col min="5" max="5" width="14.625" style="2" customWidth="1"/>
    <col min="6" max="6" width="19.375" style="2" customWidth="1"/>
    <col min="7" max="7" width="14" style="2" bestFit="1" customWidth="1"/>
    <col min="8" max="8" width="23.375" style="2" customWidth="1"/>
    <col min="9" max="16384" width="8.875" style="2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>
      <c r="A2" s="3" t="s">
        <v>8</v>
      </c>
      <c r="B2" s="3"/>
      <c r="C2" s="3" t="s">
        <v>9</v>
      </c>
      <c r="D2" s="3">
        <v>29.5</v>
      </c>
      <c r="E2" s="3">
        <v>0</v>
      </c>
      <c r="F2" s="3" t="s">
        <v>10</v>
      </c>
      <c r="G2" s="3" t="s">
        <v>11</v>
      </c>
      <c r="H2" s="3">
        <v>16450</v>
      </c>
    </row>
    <row r="3" spans="1:19">
      <c r="A3" s="3" t="s">
        <v>12</v>
      </c>
      <c r="B3" s="3">
        <v>42</v>
      </c>
      <c r="C3" s="3" t="s">
        <v>13</v>
      </c>
      <c r="D3" s="3">
        <v>26.8</v>
      </c>
      <c r="E3" s="3">
        <v>2</v>
      </c>
      <c r="F3" s="3" t="s">
        <v>10</v>
      </c>
      <c r="G3" s="3" t="s">
        <v>14</v>
      </c>
      <c r="H3" s="3">
        <v>21600</v>
      </c>
    </row>
    <row r="4" spans="1:19">
      <c r="A4" s="3" t="s">
        <v>15</v>
      </c>
      <c r="B4" s="3">
        <v>50</v>
      </c>
      <c r="C4" s="3" t="s">
        <v>9</v>
      </c>
      <c r="D4" s="3">
        <v>31.2</v>
      </c>
      <c r="E4" s="3">
        <v>3</v>
      </c>
      <c r="F4" s="3" t="s">
        <v>16</v>
      </c>
      <c r="G4" s="3" t="s">
        <v>17</v>
      </c>
      <c r="H4" s="3">
        <v>21080</v>
      </c>
    </row>
    <row r="5" spans="1:19">
      <c r="A5" s="3" t="s">
        <v>18</v>
      </c>
      <c r="B5" s="3">
        <v>28</v>
      </c>
      <c r="C5" s="3" t="s">
        <v>13</v>
      </c>
      <c r="D5" s="3">
        <v>22.3</v>
      </c>
      <c r="E5" s="3">
        <v>1</v>
      </c>
      <c r="F5" s="3" t="s">
        <v>10</v>
      </c>
      <c r="G5" s="3" t="s">
        <v>19</v>
      </c>
      <c r="H5" s="3">
        <v>10080</v>
      </c>
    </row>
    <row r="6" spans="1:19">
      <c r="A6" s="3" t="s">
        <v>20</v>
      </c>
      <c r="B6" s="3">
        <v>39</v>
      </c>
      <c r="C6" s="3" t="s">
        <v>9</v>
      </c>
      <c r="D6" s="3">
        <v>28.1</v>
      </c>
      <c r="E6" s="3">
        <v>2</v>
      </c>
      <c r="F6" s="3" t="s">
        <v>10</v>
      </c>
      <c r="G6" s="3" t="s">
        <v>21</v>
      </c>
      <c r="H6" s="3">
        <v>17640</v>
      </c>
      <c r="S6" s="2" t="s">
        <v>140</v>
      </c>
    </row>
    <row r="7" spans="1:19">
      <c r="A7" s="3" t="s">
        <v>22</v>
      </c>
      <c r="B7" s="3">
        <v>45</v>
      </c>
      <c r="C7" s="3" t="s">
        <v>13</v>
      </c>
      <c r="D7" s="3">
        <v>29.9</v>
      </c>
      <c r="E7" s="3">
        <v>0</v>
      </c>
      <c r="F7" s="3" t="s">
        <v>10</v>
      </c>
      <c r="G7" s="3" t="s">
        <v>23</v>
      </c>
      <c r="H7" s="3">
        <v>18000</v>
      </c>
      <c r="I7" s="2" t="s">
        <v>113</v>
      </c>
      <c r="J7" s="2">
        <f>AVERAGE(D2:D47)</f>
        <v>29.104347826086954</v>
      </c>
      <c r="M7" s="2" t="s">
        <v>122</v>
      </c>
      <c r="S7" s="2" t="s">
        <v>141</v>
      </c>
    </row>
    <row r="8" spans="1:19">
      <c r="A8" s="3" t="s">
        <v>24</v>
      </c>
      <c r="B8" s="3">
        <v>33</v>
      </c>
      <c r="C8" s="3" t="s">
        <v>9</v>
      </c>
      <c r="D8" s="3">
        <v>25.5</v>
      </c>
      <c r="E8" s="3">
        <v>1</v>
      </c>
      <c r="F8" s="3" t="s">
        <v>10</v>
      </c>
      <c r="G8" s="3" t="s">
        <v>25</v>
      </c>
      <c r="H8" s="3">
        <v>11520</v>
      </c>
      <c r="I8" s="2" t="s">
        <v>111</v>
      </c>
      <c r="J8" s="2">
        <f>MIN(D2:D47)</f>
        <v>22.3</v>
      </c>
    </row>
    <row r="9" spans="1:19">
      <c r="A9" s="3" t="s">
        <v>26</v>
      </c>
      <c r="B9" s="3">
        <v>37</v>
      </c>
      <c r="C9" s="3" t="s">
        <v>13</v>
      </c>
      <c r="D9" s="3">
        <v>27.4</v>
      </c>
      <c r="E9" s="3">
        <v>2</v>
      </c>
      <c r="F9" s="3" t="s">
        <v>16</v>
      </c>
      <c r="G9" s="3" t="s">
        <v>27</v>
      </c>
      <c r="H9" s="3">
        <v>16120</v>
      </c>
      <c r="I9" s="2" t="s">
        <v>112</v>
      </c>
      <c r="J9" s="2">
        <f>MAX(D2:D47)</f>
        <v>35.299999999999997</v>
      </c>
      <c r="M9" s="2" t="s">
        <v>123</v>
      </c>
      <c r="N9" s="2">
        <f>SMALL(B2:B47,22)</f>
        <v>39</v>
      </c>
    </row>
    <row r="10" spans="1:19">
      <c r="A10" s="3" t="s">
        <v>28</v>
      </c>
      <c r="B10" s="3">
        <v>47</v>
      </c>
      <c r="C10" s="3" t="s">
        <v>9</v>
      </c>
      <c r="D10" s="3">
        <v>33</v>
      </c>
      <c r="E10" s="3">
        <v>3</v>
      </c>
      <c r="F10" s="3" t="s">
        <v>10</v>
      </c>
      <c r="G10" s="3" t="s">
        <v>29</v>
      </c>
      <c r="H10" s="3">
        <v>19720</v>
      </c>
      <c r="M10" s="2" t="s">
        <v>124</v>
      </c>
      <c r="N10" s="2">
        <f>LARGE(B:B,5)</f>
        <v>50</v>
      </c>
    </row>
    <row r="11" spans="1:19">
      <c r="A11" s="3" t="s">
        <v>30</v>
      </c>
      <c r="B11" s="3">
        <v>31</v>
      </c>
      <c r="C11" s="3" t="s">
        <v>13</v>
      </c>
      <c r="D11" s="3">
        <v>24.7</v>
      </c>
      <c r="E11" s="3">
        <v>0</v>
      </c>
      <c r="F11" s="3" t="s">
        <v>10</v>
      </c>
      <c r="G11" s="3" t="s">
        <v>31</v>
      </c>
      <c r="H11" s="3">
        <v>11100</v>
      </c>
    </row>
    <row r="12" spans="1:19">
      <c r="A12" s="3" t="s">
        <v>32</v>
      </c>
      <c r="B12" s="3">
        <v>40</v>
      </c>
      <c r="C12" s="3" t="s">
        <v>9</v>
      </c>
      <c r="D12" s="3">
        <v>30.5</v>
      </c>
      <c r="E12" s="3">
        <v>2</v>
      </c>
      <c r="F12" s="3" t="s">
        <v>10</v>
      </c>
      <c r="G12" s="3" t="s">
        <v>33</v>
      </c>
      <c r="H12" s="3">
        <v>18920</v>
      </c>
      <c r="M12" s="2" t="s">
        <v>125</v>
      </c>
      <c r="N12" s="2">
        <f>LARGE(D:D,12)</f>
        <v>31.7</v>
      </c>
    </row>
    <row r="13" spans="1:19">
      <c r="A13" s="3" t="s">
        <v>34</v>
      </c>
      <c r="B13" s="3">
        <v>29</v>
      </c>
      <c r="C13" s="3" t="s">
        <v>13</v>
      </c>
      <c r="D13" s="3">
        <v>23.9</v>
      </c>
      <c r="E13" s="3">
        <v>1</v>
      </c>
      <c r="F13" s="3" t="s">
        <v>10</v>
      </c>
      <c r="G13" s="3" t="s">
        <v>35</v>
      </c>
      <c r="H13" s="3">
        <v>11020</v>
      </c>
    </row>
    <row r="14" spans="1:19">
      <c r="A14" s="3" t="s">
        <v>36</v>
      </c>
      <c r="B14" s="3">
        <v>48</v>
      </c>
      <c r="C14" s="3" t="s">
        <v>9</v>
      </c>
      <c r="D14" s="3">
        <v>32.700000000000003</v>
      </c>
      <c r="E14" s="3">
        <v>3</v>
      </c>
      <c r="F14" s="3" t="s">
        <v>16</v>
      </c>
      <c r="G14" s="3" t="s">
        <v>37</v>
      </c>
      <c r="H14" s="3">
        <v>18600</v>
      </c>
    </row>
    <row r="15" spans="1:19">
      <c r="A15" s="3" t="s">
        <v>38</v>
      </c>
      <c r="B15" s="3">
        <v>36</v>
      </c>
      <c r="C15" s="3" t="s">
        <v>13</v>
      </c>
      <c r="D15" s="3">
        <v>28.3</v>
      </c>
      <c r="E15" s="3">
        <v>0</v>
      </c>
      <c r="F15" s="3" t="s">
        <v>10</v>
      </c>
      <c r="G15" s="3" t="s">
        <v>39</v>
      </c>
      <c r="H15" s="3">
        <v>15960</v>
      </c>
    </row>
    <row r="16" spans="1:19">
      <c r="A16" s="3" t="s">
        <v>40</v>
      </c>
      <c r="B16" s="3">
        <v>43</v>
      </c>
      <c r="C16" s="3" t="s">
        <v>9</v>
      </c>
      <c r="D16" s="3">
        <v>29.8</v>
      </c>
      <c r="E16" s="3">
        <v>2</v>
      </c>
      <c r="F16" s="3" t="s">
        <v>10</v>
      </c>
      <c r="G16" s="3" t="s">
        <v>41</v>
      </c>
      <c r="H16" s="3">
        <v>17550</v>
      </c>
      <c r="M16" s="2" t="s">
        <v>126</v>
      </c>
      <c r="S16" s="2" t="e">
        <f>AVERAGEIF(C:C,C2:C47)</f>
        <v>#DIV/0!</v>
      </c>
    </row>
    <row r="17" spans="1:14">
      <c r="A17" s="3" t="s">
        <v>42</v>
      </c>
      <c r="B17" s="3">
        <v>32</v>
      </c>
      <c r="C17" s="3" t="s">
        <v>13</v>
      </c>
      <c r="D17" s="3">
        <v>25.1</v>
      </c>
      <c r="E17" s="3">
        <v>1</v>
      </c>
      <c r="F17" s="3" t="s">
        <v>10</v>
      </c>
      <c r="G17" s="3" t="s">
        <v>43</v>
      </c>
      <c r="H17" s="3">
        <v>10540</v>
      </c>
    </row>
    <row r="18" spans="1:14">
      <c r="A18" s="3" t="s">
        <v>44</v>
      </c>
      <c r="B18" s="3">
        <v>39</v>
      </c>
      <c r="C18" s="3" t="s">
        <v>9</v>
      </c>
      <c r="D18" s="3">
        <v>27.9</v>
      </c>
      <c r="E18" s="3">
        <v>3</v>
      </c>
      <c r="F18" s="3" t="s">
        <v>16</v>
      </c>
      <c r="G18" s="3" t="s">
        <v>45</v>
      </c>
      <c r="H18" s="3">
        <v>20100</v>
      </c>
      <c r="M18" s="2" t="s">
        <v>127</v>
      </c>
    </row>
    <row r="19" spans="1:14">
      <c r="A19" s="3" t="s">
        <v>46</v>
      </c>
      <c r="B19" s="3">
        <v>41</v>
      </c>
      <c r="C19" s="3" t="s">
        <v>13</v>
      </c>
      <c r="D19" s="3">
        <v>31.5</v>
      </c>
      <c r="E19" s="3">
        <v>0</v>
      </c>
      <c r="F19" s="3" t="s">
        <v>10</v>
      </c>
      <c r="G19" s="3" t="s">
        <v>47</v>
      </c>
      <c r="H19" s="3">
        <v>19600</v>
      </c>
      <c r="I19" s="2" t="s">
        <v>104</v>
      </c>
      <c r="J19" s="2">
        <f>AVERAGE(B2:B2:B47)</f>
        <v>39.799999999999997</v>
      </c>
      <c r="M19" s="2" t="s">
        <v>128</v>
      </c>
      <c r="N19" s="2">
        <f>MATCH(9600,H2:H47,)</f>
        <v>24</v>
      </c>
    </row>
    <row r="20" spans="1:14">
      <c r="A20" s="3" t="s">
        <v>48</v>
      </c>
      <c r="B20" s="3">
        <v>46</v>
      </c>
      <c r="C20" s="3" t="s">
        <v>9</v>
      </c>
      <c r="D20" s="3">
        <v>34.200000000000003</v>
      </c>
      <c r="E20" s="3">
        <v>2</v>
      </c>
      <c r="F20" s="3" t="s">
        <v>10</v>
      </c>
      <c r="G20" s="3" t="s">
        <v>49</v>
      </c>
      <c r="H20" s="3">
        <v>17280</v>
      </c>
    </row>
    <row r="21" spans="1:14">
      <c r="A21" s="3" t="s">
        <v>50</v>
      </c>
      <c r="B21" s="3">
        <v>30</v>
      </c>
      <c r="C21" s="3" t="s">
        <v>13</v>
      </c>
      <c r="D21" s="3">
        <v>26</v>
      </c>
      <c r="E21" s="3">
        <v>1</v>
      </c>
      <c r="F21" s="3" t="s">
        <v>10</v>
      </c>
      <c r="G21" s="3" t="s">
        <v>51</v>
      </c>
      <c r="H21" s="3">
        <v>12210</v>
      </c>
      <c r="I21" s="2" t="s">
        <v>105</v>
      </c>
      <c r="J21" s="2">
        <f>GEOMEAN(B2:B47)</f>
        <v>39.079015851371921</v>
      </c>
      <c r="M21" s="2" t="s">
        <v>129</v>
      </c>
      <c r="N21" s="2">
        <f>MATCH("ryan hall",A2:A47,)</f>
        <v>27</v>
      </c>
    </row>
    <row r="22" spans="1:14">
      <c r="A22" s="3" t="s">
        <v>52</v>
      </c>
      <c r="B22" s="3">
        <v>44</v>
      </c>
      <c r="C22" s="3" t="s">
        <v>9</v>
      </c>
      <c r="D22" s="3">
        <v>29.6</v>
      </c>
      <c r="E22" s="3">
        <v>3</v>
      </c>
      <c r="F22" s="3" t="s">
        <v>16</v>
      </c>
      <c r="G22" s="3" t="s">
        <v>53</v>
      </c>
      <c r="H22" s="3">
        <v>28980</v>
      </c>
    </row>
    <row r="23" spans="1:14">
      <c r="A23" s="3" t="s">
        <v>54</v>
      </c>
      <c r="B23" s="3">
        <v>35</v>
      </c>
      <c r="C23" s="3" t="s">
        <v>13</v>
      </c>
      <c r="D23" s="3">
        <v>28.8</v>
      </c>
      <c r="E23" s="3">
        <v>0</v>
      </c>
      <c r="F23" s="3" t="s">
        <v>10</v>
      </c>
      <c r="G23" s="3" t="s">
        <v>55</v>
      </c>
      <c r="H23" s="3">
        <v>12210</v>
      </c>
    </row>
    <row r="24" spans="1:14">
      <c r="A24" s="3" t="s">
        <v>56</v>
      </c>
      <c r="B24" s="3">
        <v>49</v>
      </c>
      <c r="C24" s="3" t="s">
        <v>9</v>
      </c>
      <c r="D24" s="3">
        <v>33.799999999999997</v>
      </c>
      <c r="E24" s="3">
        <v>2</v>
      </c>
      <c r="F24" s="3" t="s">
        <v>10</v>
      </c>
      <c r="G24" s="3" t="s">
        <v>57</v>
      </c>
      <c r="H24" s="3">
        <v>25760</v>
      </c>
      <c r="M24" s="2" t="s">
        <v>130</v>
      </c>
    </row>
    <row r="25" spans="1:14">
      <c r="A25" s="3" t="s">
        <v>58</v>
      </c>
      <c r="B25" s="3">
        <v>34</v>
      </c>
      <c r="C25" s="3" t="s">
        <v>13</v>
      </c>
      <c r="D25" s="3">
        <v>25.9</v>
      </c>
      <c r="E25" s="3">
        <v>1</v>
      </c>
      <c r="F25" s="3" t="s">
        <v>10</v>
      </c>
      <c r="G25" s="3" t="s">
        <v>59</v>
      </c>
      <c r="H25" s="3">
        <v>9600</v>
      </c>
    </row>
    <row r="26" spans="1:14">
      <c r="A26" s="3" t="s">
        <v>60</v>
      </c>
      <c r="B26" s="3">
        <v>38</v>
      </c>
      <c r="C26" s="3" t="s">
        <v>9</v>
      </c>
      <c r="D26" s="3">
        <v>26.3</v>
      </c>
      <c r="E26" s="3">
        <v>2</v>
      </c>
      <c r="F26" s="3" t="s">
        <v>16</v>
      </c>
      <c r="G26" s="3" t="s">
        <v>61</v>
      </c>
      <c r="H26" s="3">
        <v>30550</v>
      </c>
      <c r="M26" s="2" t="s">
        <v>131</v>
      </c>
    </row>
    <row r="27" spans="1:14">
      <c r="A27" s="3" t="s">
        <v>62</v>
      </c>
      <c r="B27" s="3">
        <v>27</v>
      </c>
      <c r="C27" s="3" t="s">
        <v>13</v>
      </c>
      <c r="D27" s="3">
        <v>24.5</v>
      </c>
      <c r="E27" s="3">
        <v>0</v>
      </c>
      <c r="F27" s="3" t="s">
        <v>10</v>
      </c>
      <c r="G27" s="3" t="s">
        <v>63</v>
      </c>
      <c r="H27" s="3">
        <v>30765</v>
      </c>
      <c r="I27" s="2" t="s">
        <v>106</v>
      </c>
      <c r="J27" s="2">
        <f>MEDIAN(B2:B47)</f>
        <v>39</v>
      </c>
      <c r="M27" s="2" t="s">
        <v>139</v>
      </c>
    </row>
    <row r="28" spans="1:14">
      <c r="A28" s="3" t="s">
        <v>64</v>
      </c>
      <c r="B28" s="3">
        <v>52</v>
      </c>
      <c r="C28" s="3" t="s">
        <v>9</v>
      </c>
      <c r="D28" s="3">
        <v>35.1</v>
      </c>
      <c r="E28" s="3">
        <v>3</v>
      </c>
      <c r="F28" s="3" t="s">
        <v>16</v>
      </c>
      <c r="G28" s="3" t="s">
        <v>65</v>
      </c>
      <c r="H28" s="3">
        <v>23760</v>
      </c>
      <c r="M28" s="2">
        <v>0</v>
      </c>
    </row>
    <row r="29" spans="1:14">
      <c r="A29" s="3" t="s">
        <v>66</v>
      </c>
      <c r="B29" s="3">
        <v>33</v>
      </c>
      <c r="C29" s="3" t="s">
        <v>13</v>
      </c>
      <c r="D29" s="3">
        <v>27.6</v>
      </c>
      <c r="E29" s="3">
        <v>1</v>
      </c>
      <c r="F29" s="3" t="s">
        <v>10</v>
      </c>
      <c r="G29" s="3" t="s">
        <v>67</v>
      </c>
      <c r="H29" s="3">
        <v>13940</v>
      </c>
    </row>
    <row r="30" spans="1:14">
      <c r="A30" s="3" t="s">
        <v>68</v>
      </c>
      <c r="B30" s="3">
        <v>50</v>
      </c>
      <c r="C30" s="3" t="s">
        <v>9</v>
      </c>
      <c r="D30" s="3">
        <v>31.8</v>
      </c>
      <c r="E30" s="3">
        <v>2</v>
      </c>
      <c r="F30" s="3" t="s">
        <v>10</v>
      </c>
      <c r="G30" s="3" t="s">
        <v>69</v>
      </c>
      <c r="H30" s="3">
        <v>21830</v>
      </c>
    </row>
    <row r="31" spans="1:14">
      <c r="A31" s="3" t="s">
        <v>70</v>
      </c>
      <c r="B31" s="3">
        <v>39</v>
      </c>
      <c r="C31" s="3" t="s">
        <v>13</v>
      </c>
      <c r="D31" s="3">
        <v>29.2</v>
      </c>
      <c r="E31" s="3">
        <v>0</v>
      </c>
      <c r="F31" s="3" t="s">
        <v>10</v>
      </c>
      <c r="G31" s="3" t="s">
        <v>71</v>
      </c>
      <c r="H31" s="3">
        <v>19270</v>
      </c>
      <c r="I31" s="2" t="s">
        <v>107</v>
      </c>
      <c r="J31" s="2">
        <f>MIN(B2:B47)</f>
        <v>27</v>
      </c>
    </row>
    <row r="32" spans="1:14">
      <c r="A32" s="3" t="s">
        <v>72</v>
      </c>
      <c r="B32" s="3">
        <v>47</v>
      </c>
      <c r="C32" s="3" t="s">
        <v>9</v>
      </c>
      <c r="D32" s="3">
        <v>32.5</v>
      </c>
      <c r="E32" s="3">
        <v>3</v>
      </c>
      <c r="F32" s="3" t="s">
        <v>16</v>
      </c>
      <c r="G32" s="3" t="s">
        <v>73</v>
      </c>
      <c r="H32" s="3">
        <v>22400</v>
      </c>
      <c r="I32" s="2" t="s">
        <v>108</v>
      </c>
      <c r="J32" s="2">
        <f>MAX(B2:B47)</f>
        <v>53</v>
      </c>
    </row>
    <row r="33" spans="1:14">
      <c r="A33" s="3" t="s">
        <v>74</v>
      </c>
      <c r="B33" s="3">
        <v>31</v>
      </c>
      <c r="C33" s="3" t="s">
        <v>13</v>
      </c>
      <c r="D33" s="3">
        <v>26.5</v>
      </c>
      <c r="E33" s="3">
        <v>1</v>
      </c>
      <c r="F33" s="3" t="s">
        <v>10</v>
      </c>
      <c r="G33" s="3" t="s">
        <v>75</v>
      </c>
      <c r="H33" s="3">
        <v>16100</v>
      </c>
      <c r="I33" s="2" t="s">
        <v>109</v>
      </c>
      <c r="J33" s="2">
        <f>MAX(E2:E47)</f>
        <v>3</v>
      </c>
      <c r="M33" s="2" t="s">
        <v>132</v>
      </c>
    </row>
    <row r="34" spans="1:14">
      <c r="A34" s="3" t="s">
        <v>76</v>
      </c>
      <c r="B34" s="3">
        <v>45</v>
      </c>
      <c r="C34" s="3" t="s">
        <v>9</v>
      </c>
      <c r="D34" s="3">
        <v>30.3</v>
      </c>
      <c r="E34" s="3">
        <v>2</v>
      </c>
      <c r="F34" s="3" t="s">
        <v>10</v>
      </c>
      <c r="G34" s="3" t="s">
        <v>77</v>
      </c>
      <c r="H34" s="3">
        <v>25080</v>
      </c>
      <c r="I34" s="2" t="s">
        <v>110</v>
      </c>
      <c r="J34" s="2">
        <f>MIN(E2:E47)</f>
        <v>0</v>
      </c>
      <c r="M34" s="2" t="s">
        <v>133</v>
      </c>
    </row>
    <row r="35" spans="1:14">
      <c r="A35" s="3" t="s">
        <v>78</v>
      </c>
      <c r="B35" s="3">
        <v>37</v>
      </c>
      <c r="C35" s="3" t="s">
        <v>13</v>
      </c>
      <c r="D35" s="3">
        <v>28</v>
      </c>
      <c r="E35" s="3">
        <v>0</v>
      </c>
      <c r="F35" s="3" t="s">
        <v>10</v>
      </c>
      <c r="G35" s="3" t="s">
        <v>79</v>
      </c>
      <c r="H35" s="3">
        <v>14430</v>
      </c>
    </row>
    <row r="36" spans="1:14">
      <c r="A36" s="3" t="s">
        <v>80</v>
      </c>
      <c r="B36" s="3">
        <v>48</v>
      </c>
      <c r="C36" s="3" t="s">
        <v>9</v>
      </c>
      <c r="D36" s="3">
        <v>33.5</v>
      </c>
      <c r="E36" s="3">
        <v>3</v>
      </c>
      <c r="F36" s="3" t="s">
        <v>16</v>
      </c>
      <c r="G36" s="3" t="s">
        <v>81</v>
      </c>
      <c r="H36" s="3">
        <v>30530</v>
      </c>
      <c r="I36" s="2" t="s">
        <v>114</v>
      </c>
      <c r="J36" s="2" t="e">
        <f>mod</f>
        <v>#NAME?</v>
      </c>
      <c r="N36" s="2">
        <f ca="1">RAND()</f>
        <v>0.43955452841161557</v>
      </c>
    </row>
    <row r="37" spans="1:14">
      <c r="A37" s="3" t="s">
        <v>82</v>
      </c>
      <c r="B37" s="3">
        <v>29</v>
      </c>
      <c r="C37" s="3" t="s">
        <v>13</v>
      </c>
      <c r="D37" s="3">
        <v>25.3</v>
      </c>
      <c r="E37" s="3">
        <v>1</v>
      </c>
      <c r="F37" s="3" t="s">
        <v>10</v>
      </c>
      <c r="G37" s="3" t="s">
        <v>83</v>
      </c>
      <c r="H37" s="3">
        <v>9900</v>
      </c>
      <c r="N37" s="2">
        <f t="shared" ref="N37:N44" ca="1" si="0">RAND()</f>
        <v>0.33686011859254739</v>
      </c>
    </row>
    <row r="38" spans="1:14">
      <c r="A38" s="3" t="s">
        <v>84</v>
      </c>
      <c r="B38" s="3">
        <v>51</v>
      </c>
      <c r="C38" s="3" t="s">
        <v>9</v>
      </c>
      <c r="D38" s="3">
        <v>34.700000000000003</v>
      </c>
      <c r="E38" s="3">
        <v>2</v>
      </c>
      <c r="F38" s="3" t="s">
        <v>10</v>
      </c>
      <c r="G38" s="3" t="s">
        <v>85</v>
      </c>
      <c r="H38" s="3">
        <v>22200</v>
      </c>
      <c r="N38" s="2">
        <f t="shared" ca="1" si="0"/>
        <v>0.8672730019771332</v>
      </c>
    </row>
    <row r="39" spans="1:14">
      <c r="A39" s="3" t="s">
        <v>86</v>
      </c>
      <c r="B39" s="3">
        <v>32</v>
      </c>
      <c r="C39" s="3" t="s">
        <v>13</v>
      </c>
      <c r="D39" s="3">
        <v>27.2</v>
      </c>
      <c r="E39" s="3">
        <v>0</v>
      </c>
      <c r="F39" s="3" t="s">
        <v>10</v>
      </c>
      <c r="G39" s="3" t="s">
        <v>87</v>
      </c>
      <c r="H39" s="3">
        <v>15480</v>
      </c>
      <c r="N39" s="2">
        <f t="shared" ca="1" si="0"/>
        <v>0.5263166942788019</v>
      </c>
    </row>
    <row r="40" spans="1:14">
      <c r="A40" s="3" t="s">
        <v>88</v>
      </c>
      <c r="B40" s="3">
        <v>46</v>
      </c>
      <c r="C40" s="3" t="s">
        <v>9</v>
      </c>
      <c r="D40" s="3">
        <v>31</v>
      </c>
      <c r="E40" s="3">
        <v>3</v>
      </c>
      <c r="F40" s="3" t="s">
        <v>16</v>
      </c>
      <c r="G40" s="3" t="s">
        <v>89</v>
      </c>
      <c r="H40" s="3">
        <v>24480</v>
      </c>
      <c r="N40" s="2">
        <f t="shared" ca="1" si="0"/>
        <v>0.96458199273826051</v>
      </c>
    </row>
    <row r="41" spans="1:14">
      <c r="A41" s="3" t="s">
        <v>90</v>
      </c>
      <c r="B41" s="3">
        <v>36</v>
      </c>
      <c r="C41" s="3" t="s">
        <v>13</v>
      </c>
      <c r="D41" s="3">
        <v>29.1</v>
      </c>
      <c r="E41" s="3">
        <v>1</v>
      </c>
      <c r="F41" s="3" t="s">
        <v>10</v>
      </c>
      <c r="G41" s="3" t="s">
        <v>91</v>
      </c>
      <c r="H41" s="3">
        <v>12000</v>
      </c>
      <c r="I41" s="2" t="s">
        <v>115</v>
      </c>
      <c r="J41" s="2">
        <f>VAR(B2:B47)</f>
        <v>57.6636363636363</v>
      </c>
      <c r="N41" s="2">
        <f t="shared" ca="1" si="0"/>
        <v>2.4244755698671905E-2</v>
      </c>
    </row>
    <row r="42" spans="1:14">
      <c r="A42" s="3" t="s">
        <v>92</v>
      </c>
      <c r="B42" s="3">
        <v>49</v>
      </c>
      <c r="C42" s="3" t="s">
        <v>9</v>
      </c>
      <c r="D42" s="3">
        <v>32.799999999999997</v>
      </c>
      <c r="E42" s="3">
        <v>2</v>
      </c>
      <c r="F42" s="3" t="s">
        <v>10</v>
      </c>
      <c r="G42" s="3" t="s">
        <v>93</v>
      </c>
      <c r="H42" s="3">
        <v>28060</v>
      </c>
      <c r="I42" s="2" t="s">
        <v>116</v>
      </c>
      <c r="J42" s="2">
        <f>_xlfn.VAR.P(B2:B47)</f>
        <v>56.382222222222225</v>
      </c>
      <c r="N42" s="2">
        <f t="shared" ca="1" si="0"/>
        <v>0.22290055596805114</v>
      </c>
    </row>
    <row r="43" spans="1:14">
      <c r="A43" s="3" t="s">
        <v>94</v>
      </c>
      <c r="B43" s="3">
        <v>38</v>
      </c>
      <c r="C43" s="3" t="s">
        <v>13</v>
      </c>
      <c r="D43" s="3">
        <v>27.8</v>
      </c>
      <c r="E43" s="3">
        <v>0</v>
      </c>
      <c r="F43" s="3" t="s">
        <v>10</v>
      </c>
      <c r="G43" s="3" t="s">
        <v>95</v>
      </c>
      <c r="H43" s="3">
        <v>14060</v>
      </c>
      <c r="J43" s="2">
        <f>_xlfn.VAR.S(B:B)</f>
        <v>57.6636363636363</v>
      </c>
      <c r="N43" s="2">
        <f t="shared" ca="1" si="0"/>
        <v>0.72818854210048845</v>
      </c>
    </row>
    <row r="44" spans="1:14">
      <c r="A44" s="3" t="s">
        <v>96</v>
      </c>
      <c r="B44" s="3">
        <v>53</v>
      </c>
      <c r="C44" s="3" t="s">
        <v>9</v>
      </c>
      <c r="D44" s="3">
        <v>35.299999999999997</v>
      </c>
      <c r="E44" s="3">
        <v>3</v>
      </c>
      <c r="F44" s="3" t="s">
        <v>16</v>
      </c>
      <c r="G44" s="3" t="s">
        <v>97</v>
      </c>
      <c r="H44" s="3">
        <v>32120</v>
      </c>
      <c r="N44" s="2">
        <f t="shared" ca="1" si="0"/>
        <v>0.47239374015668179</v>
      </c>
    </row>
    <row r="45" spans="1:14">
      <c r="A45" s="3" t="s">
        <v>98</v>
      </c>
      <c r="B45" s="3">
        <v>34</v>
      </c>
      <c r="C45" s="3" t="s">
        <v>13</v>
      </c>
      <c r="D45" s="3">
        <v>26.4</v>
      </c>
      <c r="E45" s="3">
        <v>1</v>
      </c>
      <c r="F45" s="3" t="s">
        <v>10</v>
      </c>
      <c r="G45" s="3" t="s">
        <v>99</v>
      </c>
      <c r="H45" s="3">
        <v>15640</v>
      </c>
      <c r="I45" s="2" t="s">
        <v>118</v>
      </c>
    </row>
    <row r="46" spans="1:14">
      <c r="A46" s="3" t="s">
        <v>100</v>
      </c>
      <c r="B46" s="3">
        <v>48</v>
      </c>
      <c r="C46" s="3" t="s">
        <v>9</v>
      </c>
      <c r="D46" s="3">
        <v>31.7</v>
      </c>
      <c r="E46" s="3">
        <v>2</v>
      </c>
      <c r="F46" s="3" t="s">
        <v>10</v>
      </c>
      <c r="G46" s="3" t="s">
        <v>101</v>
      </c>
      <c r="H46" s="3">
        <v>20880</v>
      </c>
      <c r="I46" s="2" t="s">
        <v>117</v>
      </c>
      <c r="J46" s="2">
        <f>_xlfn.STDEV.P(B2:B47)</f>
        <v>7.5088096408300444</v>
      </c>
    </row>
    <row r="47" spans="1:14">
      <c r="A47" s="3" t="s">
        <v>102</v>
      </c>
      <c r="B47" s="3">
        <v>30</v>
      </c>
      <c r="C47" s="3" t="s">
        <v>13</v>
      </c>
      <c r="D47" s="3">
        <v>25.8</v>
      </c>
      <c r="E47" s="3">
        <v>0</v>
      </c>
      <c r="F47" s="3" t="s">
        <v>10</v>
      </c>
      <c r="G47" s="3" t="s">
        <v>103</v>
      </c>
      <c r="H47" s="3">
        <v>11840</v>
      </c>
    </row>
    <row r="48" spans="1:14">
      <c r="M48" s="2" t="s">
        <v>134</v>
      </c>
    </row>
    <row r="49" spans="6:15">
      <c r="I49" s="2" t="s">
        <v>119</v>
      </c>
    </row>
    <row r="50" spans="6:15">
      <c r="M50" s="2" t="s">
        <v>135</v>
      </c>
      <c r="N50" s="2">
        <v>5</v>
      </c>
      <c r="O50" s="2" t="s">
        <v>137</v>
      </c>
    </row>
    <row r="51" spans="6:15">
      <c r="M51" s="2" t="s">
        <v>136</v>
      </c>
      <c r="N51" s="2">
        <v>7</v>
      </c>
    </row>
    <row r="52" spans="6:15">
      <c r="I52" s="2" t="s">
        <v>120</v>
      </c>
      <c r="J52" s="2">
        <f>KURT(B2:B47)</f>
        <v>-1.281362950929515</v>
      </c>
    </row>
    <row r="53" spans="6:15">
      <c r="I53" s="2" t="s">
        <v>121</v>
      </c>
      <c r="J53" s="2">
        <f>SKEW(B2:B47)</f>
        <v>3.9525628191825375E-2</v>
      </c>
      <c r="M53" s="2">
        <f ca="1">(7-5)*RAND()+5</f>
        <v>6.4155412727487544</v>
      </c>
    </row>
    <row r="54" spans="6:15">
      <c r="M54" s="2">
        <f t="shared" ref="M54:M58" ca="1" si="1">(7-5)*RAND()+5</f>
        <v>6.4091222600702862</v>
      </c>
    </row>
    <row r="55" spans="6:15">
      <c r="M55" s="2">
        <f t="shared" ca="1" si="1"/>
        <v>5.3103279473184166</v>
      </c>
    </row>
    <row r="56" spans="6:15">
      <c r="F56" s="2">
        <v>12</v>
      </c>
      <c r="G56" s="2">
        <v>9</v>
      </c>
      <c r="M56" s="2">
        <f t="shared" ca="1" si="1"/>
        <v>6.6573459606341068</v>
      </c>
    </row>
    <row r="57" spans="6:15">
      <c r="F57" s="2">
        <v>24</v>
      </c>
      <c r="G57" s="2">
        <v>14</v>
      </c>
      <c r="M57" s="2">
        <f t="shared" ca="1" si="1"/>
        <v>6.694485748723725</v>
      </c>
    </row>
    <row r="58" spans="6:15">
      <c r="F58" s="2">
        <v>23</v>
      </c>
      <c r="G58" s="2">
        <v>256</v>
      </c>
      <c r="M58" s="2">
        <f t="shared" ca="1" si="1"/>
        <v>6.9106506725380026</v>
      </c>
    </row>
    <row r="60" spans="6:15">
      <c r="F60" s="2">
        <v>12</v>
      </c>
      <c r="G60" s="2">
        <v>9</v>
      </c>
      <c r="M60" s="2" t="s">
        <v>138</v>
      </c>
      <c r="N60" s="2">
        <f ca="1">INT((26-15)*RAND()+15)</f>
        <v>22</v>
      </c>
    </row>
    <row r="61" spans="6:15">
      <c r="F61" s="2">
        <v>24</v>
      </c>
      <c r="G61" s="2">
        <v>14</v>
      </c>
    </row>
    <row r="62" spans="6:15">
      <c r="F62" s="2">
        <v>23</v>
      </c>
      <c r="G62" s="2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Healthcare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StatsLab</cp:lastModifiedBy>
  <dcterms:created xsi:type="dcterms:W3CDTF">2024-02-19T11:56:33Z</dcterms:created>
  <dcterms:modified xsi:type="dcterms:W3CDTF">2026-10-05T12:01:45Z</dcterms:modified>
</cp:coreProperties>
</file>